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t invest" sheetId="1" r:id="rId4"/>
  </sheets>
  <externalReferences>
    <externalReference r:id="rId5"/>
    <externalReference r:id="rId6"/>
  </externalReferences>
  <definedNames>
    <definedName name="Beg_Bal">'[1]Piano rata '!$C$18:$C$377</definedName>
    <definedName name="End_Bal">'[1]Piano rata '!$I$18:$I$377</definedName>
    <definedName name="Extra_Pay">'[1]Piano rata '!$E$18:$E$377</definedName>
    <definedName name="Full_Print">'[1]Piano rata '!$A$1:$I$377</definedName>
    <definedName name="Header_Row">ROW('[1]Piano rata '!$A$17:$IV$17)</definedName>
    <definedName name="Int">'[1]Piano rata '!$H$18:$H$377</definedName>
    <definedName name="Interest_Rate">'[1]Piano rata '!$D$7</definedName>
    <definedName name="Last_Row">IF(Values_Entered,Header_Row+Number_of_Payments,Header_Row)</definedName>
    <definedName name="Loan_Amount">'[1]Piano rata '!$D$6</definedName>
    <definedName name="Loan_Start">'[1]Piano rata '!$D$10</definedName>
    <definedName name="Loan_Years">'[1]Piano rata '!$D$8</definedName>
    <definedName name="Num_Pmt_Per_Year">'[1]Piano rata '!$D$9</definedName>
    <definedName name="Number_of_Payments">MATCH(0.01,End_Bal,-1)+1</definedName>
    <definedName name="Pay_Num">'[1]Piano rata '!$A$18:$A$377</definedName>
    <definedName name="Payment_Date">DATE(YEAR(Loan_Start),MONTH(Loan_Start)+Payment_Number,DAY(Loan_Start))</definedName>
    <definedName name="Princ">'[1]Piano rata '!$G$18:$G$377</definedName>
    <definedName name="Print_Area_Reset">OFFSET(Full_Print,0,0,Last_Row)</definedName>
    <definedName name="revoca">'[2]Elenco banche'!$H$3:$H$4</definedName>
    <definedName name="Sched_Pay">'[1]Piano rata '!$D$18:$D$377</definedName>
    <definedName name="Scheduled_Extra_Payments">'[1]Piano rata '!$D$11</definedName>
    <definedName name="Scheduled_Monthly_Payment">'[1]Piano rata '!$H$6</definedName>
    <definedName name="Total_Pay">'[1]Piano rata '!$F$18:$F$377</definedName>
    <definedName name="Total_Payment">Scheduled_Payment+Extra_Payment</definedName>
    <definedName name="Values_Entered">IF(Loan_Amount*Interest_Rate*Loan_Years*Loan_Start&gt;0,1,0)</definedName>
  </definedNames>
  <calcPr/>
  <extLst>
    <ext uri="GoogleSheetsCustomDataVersion2">
      <go:sheetsCustomData xmlns:go="http://customooxmlschemas.google.com/" r:id="rId7" roundtripDataChecksum="eE7X8NPRPz6iaXZOKfXBK1GuWA/3A7VHnTKy9ff9T3o="/>
    </ext>
  </extLst>
</workbook>
</file>

<file path=xl/sharedStrings.xml><?xml version="1.0" encoding="utf-8"?>
<sst xmlns="http://schemas.openxmlformats.org/spreadsheetml/2006/main" count="15" uniqueCount="13">
  <si>
    <t xml:space="preserve">Fornitore </t>
  </si>
  <si>
    <t>BENE</t>
  </si>
  <si>
    <t>QUANTITA'</t>
  </si>
  <si>
    <t>IMP UNIT.</t>
  </si>
  <si>
    <t>IMP. ALLEST.</t>
  </si>
  <si>
    <t>TOTALE</t>
  </si>
  <si>
    <t xml:space="preserve">Ant </t>
  </si>
  <si>
    <t xml:space="preserve">Num Ctr </t>
  </si>
  <si>
    <t>MERLO</t>
  </si>
  <si>
    <t>P40.17</t>
  </si>
  <si>
    <t>ROTO50.26</t>
  </si>
  <si>
    <t>TG30.9 115</t>
  </si>
  <si>
    <t>Totali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</si>
</sst>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€&quot;;[Red]\-#,##0.00\ &quot;€&quot;"/>
    <numFmt numFmtId="165" formatCode="_-* #,##0.00\ [$€-410]_-;\-* #,##0.00\ [$€-410]_-;_-* &quot;-&quot;??\ [$€-410]_-;_-@"/>
  </numFmts>
  <fonts count="6">
    <font>
      <sz val="10.0"/>
      <color rgb="FF000000"/>
      <name val="Calibri"/>
      <scheme val="minor"/>
    </font>
    <font>
      <sz val="12.0"/>
      <color theme="1"/>
      <name val="Calibri"/>
    </font>
    <font>
      <sz val="12.0"/>
      <color theme="1"/>
      <name val="Arial"/>
    </font>
    <font>
      <sz val="12.0"/>
      <color rgb="FF000000"/>
      <name val="Calibri"/>
    </font>
    <font>
      <sz val="12.0"/>
      <color rgb="FFFF0000"/>
      <name val="Calibri"/>
    </font>
    <font>
      <b/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right" vertical="center"/>
    </xf>
    <xf borderId="1" fillId="0" fontId="3" numFmtId="164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vertical="center"/>
    </xf>
    <xf borderId="1" fillId="0" fontId="4" numFmtId="0" xfId="0" applyBorder="1" applyFont="1"/>
    <xf borderId="1" fillId="0" fontId="3" numFmtId="0" xfId="0" applyAlignment="1" applyBorder="1" applyFont="1">
      <alignment readingOrder="0" vertical="center"/>
    </xf>
    <xf borderId="1" fillId="0" fontId="3" numFmtId="164" xfId="0" applyAlignment="1" applyBorder="1" applyFont="1" applyNumberFormat="1">
      <alignment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164" xfId="0" applyAlignment="1" applyBorder="1" applyFont="1" applyNumberFormat="1">
      <alignment vertical="center"/>
    </xf>
    <xf borderId="3" fillId="0" fontId="3" numFmtId="164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Il%20mio%20Drive\PRATICHE%20DEF%20E%20LAVORAZIONE%20BCC%20IBI\2023%20IBI\Strumentale%2002%20Strade%20e%20Servizi%20Srl\03%20LF%20BILANCI%20VEICOLI%20CLIENTI%20RELAZIONE\ANALISI%20BILANCIO%202022%20su%202021%20strade%20e%20ser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Users\pinoa\Google%20Drive\PRATICHE%20DEF%20E%20LAVORAZIONE\2021%20IBI\Targato%2017%20AFG%20SRL\04%20LF%20IBAN%20AFFIDAM%20RATEALI\Banche%20Affidamenti%20AFG%20Srl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egenda"/>
      <sheetName val="DATA ENTRY"/>
      <sheetName val="MRM RATING"/>
      <sheetName val="print sheet"/>
      <sheetName val="DATI IFIS "/>
      <sheetName val="Compagine Sociale"/>
      <sheetName val="dett invest"/>
      <sheetName val="Clienti"/>
      <sheetName val="DFINEBITDAR"/>
      <sheetName val="Rateali"/>
      <sheetName val="Banche Revoca"/>
      <sheetName val="Piano rata "/>
      <sheetName val="Res Piano"/>
      <sheetName val="DI e Soc Pers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lenco banche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3.71"/>
    <col customWidth="1" min="3" max="3" width="7.43"/>
    <col customWidth="1" min="4" max="5" width="13.14"/>
    <col customWidth="1" min="6" max="6" width="13.57"/>
    <col customWidth="1" min="7" max="7" width="9.29"/>
    <col customWidth="1" min="8" max="26" width="8.71"/>
  </cols>
  <sheetData>
    <row r="1" ht="12.75" customHeight="1"/>
    <row r="2" ht="12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8</v>
      </c>
      <c r="B3" s="3" t="s">
        <v>9</v>
      </c>
      <c r="C3" s="4">
        <v>1.0</v>
      </c>
      <c r="D3" s="5">
        <v>89000.0</v>
      </c>
      <c r="E3" s="5">
        <v>7600.0</v>
      </c>
      <c r="F3" s="6">
        <f>(C3*D3)+E3</f>
        <v>96600</v>
      </c>
      <c r="G3" s="7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8</v>
      </c>
      <c r="B4" s="3" t="s">
        <v>10</v>
      </c>
      <c r="C4" s="4">
        <v>1.0</v>
      </c>
      <c r="D4" s="5">
        <v>172000.0</v>
      </c>
      <c r="E4" s="5">
        <v>8900.0</v>
      </c>
      <c r="F4" s="6">
        <f>D4+E4</f>
        <v>180900</v>
      </c>
      <c r="G4" s="7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8</v>
      </c>
      <c r="B5" s="9" t="s">
        <v>11</v>
      </c>
      <c r="C5" s="4">
        <v>2.0</v>
      </c>
      <c r="D5" s="10">
        <v>77000.0</v>
      </c>
      <c r="E5" s="5"/>
      <c r="F5" s="11">
        <v>154000.0</v>
      </c>
      <c r="G5" s="7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1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/>
      <c r="B7" s="13" t="s">
        <v>12</v>
      </c>
      <c r="C7" s="14">
        <f>SUM(C3:C5)</f>
        <v>4</v>
      </c>
      <c r="D7" s="15"/>
      <c r="E7" s="15"/>
      <c r="F7" s="16">
        <f>SUM(F3:F6)</f>
        <v>431500</v>
      </c>
      <c r="G7" s="17">
        <f>SUM(G3:G5)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F8" s="18"/>
    </row>
    <row r="9" ht="12.75" customHeight="1">
      <c r="F9" s="19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2023-11-04T15:12:08Z</dcterms:created>
  <dc:creator>pippo</dc:creator>
</cp:coreProperties>
</file>